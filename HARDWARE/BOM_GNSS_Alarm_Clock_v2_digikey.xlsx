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 &quot;kr&quot;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164" fontId="6" fillId="0" borderId="0" pivotButton="0" quotePrefix="0" xfId="0"/>
    <xf numFmtId="0" fontId="6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8.59765625" defaultRowHeight="15" zeroHeight="0" outlineLevelRow="0"/>
  <cols>
    <col width="55.64" customWidth="1" style="5" min="1" max="1"/>
    <col width="6" customWidth="1" style="5" min="2" max="2"/>
    <col width="30.64" customWidth="1" style="5" min="3" max="3"/>
    <col width="34" customWidth="1" style="5" min="4" max="4"/>
    <col width="15" customWidth="1" style="5" min="5" max="5"/>
    <col width="34" customWidth="1" style="5" min="6" max="6"/>
    <col width="66" customWidth="1" style="6" min="7" max="7"/>
  </cols>
  <sheetData>
    <row r="1" ht="17.35" customHeight="1" s="6">
      <c r="A1" s="7" t="inlineStr">
        <is>
          <t>GNSS Alarm Clock v2 - Bill of Materials</t>
        </is>
      </c>
    </row>
    <row r="2" ht="15" customHeight="1" s="6">
      <c r="A2" s="5" t="inlineStr">
        <is>
          <t>Generated from HARDWARE/GNSS_Alarm_Clock.kicad_pcb, 2026-08-10. 146 components, 38 unique parts. Resistor value notation normalized (schematic mixes 100KΩ/100k/100kΩ).</t>
        </is>
      </c>
    </row>
    <row r="3"/>
    <row r="4" ht="15" customHeight="1" s="6">
      <c r="A4" s="8" t="inlineStr">
        <is>
          <t>Designators</t>
        </is>
      </c>
      <c r="B4" s="8" t="inlineStr">
        <is>
          <t>Qty</t>
        </is>
      </c>
      <c r="C4" s="8" t="inlineStr">
        <is>
          <t>Value / Part</t>
        </is>
      </c>
      <c r="D4" s="8" t="inlineStr">
        <is>
          <t>Price</t>
        </is>
      </c>
      <c r="E4" s="14" t="inlineStr">
        <is>
          <t>Line total (NOK)</t>
        </is>
      </c>
      <c r="F4" s="8" t="inlineStr">
        <is>
          <t>Digikey Partnumber</t>
        </is>
      </c>
      <c r="G4" s="8" t="inlineStr">
        <is>
          <t>Notes</t>
        </is>
      </c>
    </row>
    <row r="5" ht="16.4" customHeight="1" s="6">
      <c r="A5" s="9" t="inlineStr">
        <is>
          <t>C1, C3, C4</t>
        </is>
      </c>
      <c r="B5" s="5" t="n">
        <v>3</v>
      </c>
      <c r="C5" s="5" t="inlineStr">
        <is>
          <t>22uF</t>
        </is>
      </c>
      <c r="D5" s="10" t="n">
        <v>2.99</v>
      </c>
      <c r="E5" s="10">
        <f>IFERROR(B5*D5,"")</f>
        <v/>
      </c>
      <c r="F5" s="5" t="inlineStr">
        <is>
          <t>1276-CL21A226MAYNNNECT-ND</t>
        </is>
      </c>
      <c r="G5" s="11" t="inlineStr">
        <is>
          <t>Samsung CL21A226MAYNNNE. BACKORDER: 0 pa lager, paafyll ~15-09-2026 (22uF/0805 bredt restordret)</t>
        </is>
      </c>
    </row>
    <row r="6" ht="16.4" customHeight="1" s="6">
      <c r="A6" s="9" t="inlineStr">
        <is>
          <t>C2, C5, C26</t>
        </is>
      </c>
      <c r="B6" s="5" t="n">
        <v>3</v>
      </c>
      <c r="C6" s="5" t="inlineStr">
        <is>
          <t>1uF</t>
        </is>
      </c>
      <c r="D6" s="10" t="n">
        <v>1.54</v>
      </c>
      <c r="E6" s="10">
        <f>IFERROR(B6*D6,"")</f>
        <v/>
      </c>
      <c r="F6" s="5" t="inlineStr">
        <is>
          <t>399-C0805C105K3RACTUCT-ND</t>
        </is>
      </c>
      <c r="G6" s="11" t="inlineStr">
        <is>
          <t>KEMET C0805C105K3RACTU</t>
        </is>
      </c>
    </row>
    <row r="7" ht="16.4" customHeight="1" s="6">
      <c r="A7" s="9" t="inlineStr">
        <is>
          <t>C6, C7, C8, C9, C10, C11, C12, C16, C17, C19, C20, C22, C28, C29</t>
        </is>
      </c>
      <c r="B7" s="5" t="n">
        <v>14</v>
      </c>
      <c r="C7" s="5" t="inlineStr">
        <is>
          <t>10uF</t>
        </is>
      </c>
      <c r="D7" s="10" t="n">
        <v>2.22</v>
      </c>
      <c r="E7" s="10">
        <f>IFERROR(B7*D7,"")</f>
        <v/>
      </c>
      <c r="F7" s="5" t="inlineStr">
        <is>
          <t>445-7644-1-ND</t>
        </is>
      </c>
      <c r="G7" s="11" t="inlineStr">
        <is>
          <t>TDK C2012X5R1C106K085AC (905 pa lager - nok til 14 stk)</t>
        </is>
      </c>
    </row>
    <row r="8" ht="16.4" customHeight="1" s="6">
      <c r="A8" s="9" t="inlineStr">
        <is>
          <t>C13</t>
        </is>
      </c>
      <c r="B8" s="5" t="n">
        <v>1</v>
      </c>
      <c r="C8" s="5" t="inlineStr">
        <is>
          <t>4.7uF</t>
        </is>
      </c>
      <c r="D8" s="10" t="n">
        <v>2.8</v>
      </c>
      <c r="E8" s="10">
        <f>IFERROR(B8*D8,"")</f>
        <v/>
      </c>
      <c r="F8" s="5" t="inlineStr">
        <is>
          <t>445-4116-1-ND</t>
        </is>
      </c>
      <c r="G8" s="11" t="inlineStr">
        <is>
          <t>TDK C2012X5R1E475K125AB</t>
        </is>
      </c>
    </row>
    <row r="9" ht="16.4" customHeight="1" s="6">
      <c r="A9" s="9" t="inlineStr">
        <is>
          <t>C14, C15, C27</t>
        </is>
      </c>
      <c r="B9" s="5" t="n">
        <v>3</v>
      </c>
      <c r="C9" s="5" t="inlineStr">
        <is>
          <t>100nF</t>
        </is>
      </c>
      <c r="D9" s="10" t="n">
        <v>0.96</v>
      </c>
      <c r="E9" s="10">
        <f>IFERROR(B9*D9,"")</f>
        <v/>
      </c>
      <c r="F9" s="5" t="inlineStr">
        <is>
          <t>1276-1003-1-ND</t>
        </is>
      </c>
      <c r="G9" s="11" t="inlineStr">
        <is>
          <t>Samsung CL21B104KBCNNNC</t>
        </is>
      </c>
    </row>
    <row r="10" ht="16.4" customHeight="1" s="6">
      <c r="A10" s="9" t="inlineStr">
        <is>
          <t>C18, C21</t>
        </is>
      </c>
      <c r="B10" s="5" t="n">
        <v>2</v>
      </c>
      <c r="C10" s="5" t="inlineStr">
        <is>
          <t>220uF</t>
        </is>
      </c>
      <c r="D10" s="10" t="n">
        <v>7.72</v>
      </c>
      <c r="E10" s="10">
        <f>IFERROR(B10*D10,"")</f>
        <v/>
      </c>
      <c r="F10" s="5" t="inlineStr">
        <is>
          <t>P15084CT-ND</t>
        </is>
      </c>
      <c r="G10" s="11" t="inlineStr">
        <is>
          <t>Bulk electrolytic - polymer upgrade candidate (e.g. Nichicon RSA series), 10V rating for the VSYS-side position. | Panasonic EEE-FT1A221AP (elko). Polymer-alternativ: Nichicon RSA0J331MCN1GS = 493-7370-1-ND, 10,61 kr, god lagerstatus</t>
        </is>
      </c>
    </row>
    <row r="11" ht="16.4" customHeight="1" s="6">
      <c r="A11" s="9" t="inlineStr">
        <is>
          <t>C24, C25</t>
        </is>
      </c>
      <c r="B11" s="5" t="n">
        <v>2</v>
      </c>
      <c r="C11" s="5" t="inlineStr">
        <is>
          <t>10pF</t>
        </is>
      </c>
      <c r="D11" s="10" t="n">
        <v>1.06</v>
      </c>
      <c r="E11" s="10">
        <f>IFERROR(B11*D11,"")</f>
        <v/>
      </c>
      <c r="F11" s="5" t="inlineStr">
        <is>
          <t>732-7846-1-ND</t>
        </is>
      </c>
      <c r="G11" s="11" t="inlineStr">
        <is>
          <t>Wurth 885012007051 (Samsung-originalen utgatt)</t>
        </is>
      </c>
    </row>
    <row r="12" ht="16.4" customHeight="1" s="6">
      <c r="A12" s="9" t="inlineStr">
        <is>
          <t>J1</t>
        </is>
      </c>
      <c r="B12" s="5" t="n">
        <v>1</v>
      </c>
      <c r="C12" s="5" t="inlineStr">
        <is>
          <t>USB4110GFA</t>
        </is>
      </c>
      <c r="D12" s="10" t="n">
        <v>12.25</v>
      </c>
      <c r="E12" s="10">
        <f>IFERROR(B12*D12,"")</f>
        <v/>
      </c>
      <c r="F12" s="5" t="inlineStr">
        <is>
          <t>2073-USB4110-GF-A-1-ND</t>
        </is>
      </c>
      <c r="G12" s="11" t="n"/>
    </row>
    <row r="13" ht="16.4" customHeight="1" s="6">
      <c r="A13" s="9" t="inlineStr">
        <is>
          <t>J3</t>
        </is>
      </c>
      <c r="B13" s="5" t="n">
        <v>1</v>
      </c>
      <c r="C13" s="5" t="inlineStr">
        <is>
          <t>SWD-Connector_3220-10-0100-00</t>
        </is>
      </c>
      <c r="D13" s="10" t="n">
        <v>5.69</v>
      </c>
      <c r="E13" s="10">
        <f>IFERROR(B13*D13,"")</f>
        <v/>
      </c>
      <c r="F13" s="5" t="inlineStr">
        <is>
          <t>1175-1627-ND</t>
        </is>
      </c>
      <c r="G13" s="11" t="inlineStr">
        <is>
          <t>CNC Tech 3220-10-0100-00</t>
        </is>
      </c>
    </row>
    <row r="14" ht="16.4" customHeight="1" s="6">
      <c r="A14" s="9" t="inlineStr">
        <is>
          <t>J4</t>
        </is>
      </c>
      <c r="B14" s="5" t="n">
        <v>1</v>
      </c>
      <c r="C14" s="5" t="inlineStr">
        <is>
          <t>B8B-XH-A</t>
        </is>
      </c>
      <c r="D14" s="10" t="n">
        <v>2.89</v>
      </c>
      <c r="E14" s="10">
        <f>IFERROR(B14*D14,"")</f>
        <v/>
      </c>
      <c r="F14" s="5" t="inlineStr">
        <is>
          <t>1651049</t>
        </is>
      </c>
      <c r="G14" s="11" t="n"/>
    </row>
    <row r="15" ht="16.4" customHeight="1" s="6">
      <c r="A15" s="9" t="inlineStr">
        <is>
          <t>J6, J7</t>
        </is>
      </c>
      <c r="B15" s="5" t="n">
        <v>2</v>
      </c>
      <c r="C15" s="5" t="inlineStr">
        <is>
          <t>B2B-PH-K-S</t>
        </is>
      </c>
      <c r="D15" s="10" t="n">
        <v>1.06</v>
      </c>
      <c r="E15" s="10">
        <f>IFERROR(B15*D15,"")</f>
        <v/>
      </c>
      <c r="F15" s="5" t="inlineStr">
        <is>
          <t>926611</t>
        </is>
      </c>
      <c r="G15" s="11" t="inlineStr">
        <is>
          <t>Battery connector - production cell: 505060 LiPo 3.7V 2000mAh with PCM. | pris per stk</t>
        </is>
      </c>
    </row>
    <row r="16" ht="16.4" customHeight="1" s="6">
      <c r="A16" s="9" t="inlineStr">
        <is>
          <t>L1</t>
        </is>
      </c>
      <c r="B16" s="5" t="n">
        <v>1</v>
      </c>
      <c r="C16" s="5" t="inlineStr">
        <is>
          <t>2.2uH</t>
        </is>
      </c>
      <c r="D16" s="10" t="n">
        <v>5.21</v>
      </c>
      <c r="E16" s="10">
        <f>IFERROR(B16*D16,"")</f>
        <v/>
      </c>
      <c r="F16" s="5" t="inlineStr">
        <is>
          <t>445-VLCF4020T-2R2N1R7CT-ND</t>
        </is>
      </c>
      <c r="G16" s="11" t="inlineStr">
        <is>
          <t>TDK. BACKORDER: paafyll ~03-09-2026</t>
        </is>
      </c>
    </row>
    <row r="17" ht="16.4" customHeight="1" s="6">
      <c r="A17" s="9" t="inlineStr">
        <is>
          <t>L2</t>
        </is>
      </c>
      <c r="B17" s="5" t="n">
        <v>1</v>
      </c>
      <c r="C17" s="5" t="inlineStr">
        <is>
          <t>1uH</t>
        </is>
      </c>
      <c r="D17" s="10" t="n">
        <v>4.15</v>
      </c>
      <c r="E17" s="10">
        <f>IFERROR(B17*D17,"")</f>
        <v/>
      </c>
      <c r="F17" s="5" t="inlineStr">
        <is>
          <t>445-6683-1-ND</t>
        </is>
      </c>
      <c r="G17" s="11" t="inlineStr">
        <is>
          <t>EQUIVALENT: TDK VLS4012ET-1R0N for YXMAA0412-1R0M (1uH 4x4x1.2mm 2.5A) - NB: NRND</t>
        </is>
      </c>
    </row>
    <row r="18" ht="16.4" customHeight="1" s="6">
      <c r="A18" s="9" t="inlineStr">
        <is>
          <t>L4</t>
        </is>
      </c>
      <c r="B18" s="5" t="n">
        <v>1</v>
      </c>
      <c r="C18" s="5" t="inlineStr">
        <is>
          <t>10uH</t>
        </is>
      </c>
      <c r="D18" s="10" t="n">
        <v>2.7</v>
      </c>
      <c r="E18" s="10">
        <f>IFERROR(B18*D18,"")</f>
        <v/>
      </c>
      <c r="F18" s="5" t="inlineStr">
        <is>
          <t>490-LQH32CN100K33LCT-ND</t>
        </is>
      </c>
      <c r="G18" s="11" t="inlineStr">
        <is>
          <t>EQUIVALENT: Murata LQH32CN100K33L 1210 (LQH31CN utgatt, dette er Muratas erstatning)</t>
        </is>
      </c>
    </row>
    <row r="19" ht="61.15" customHeight="1" s="6">
      <c r="A19" s="9" t="inlineStr">
        <is>
          <t>LED1, LED2, LED3, LED4, LED5, LED6, LED7, LED8, LED9, LED10, LED11, LED12, LED13, LED14, LED15, LED16, LED17, LED18, LED19, LED20, LED21, LED22, LED23, LED24, LED25, LED26, LED27, LED28, LED29, LED30, LED31, LED32, LED33, LED34</t>
        </is>
      </c>
      <c r="B19" s="5" t="n">
        <v>34</v>
      </c>
      <c r="C19" s="5" t="inlineStr">
        <is>
          <t>OR-PL020W</t>
        </is>
      </c>
      <c r="D19" s="10" t="n">
        <v>3.86</v>
      </c>
      <c r="E19" s="10">
        <f>IFERROR(B19*D19,"")</f>
        <v/>
      </c>
      <c r="F19" s="5" t="inlineStr">
        <is>
          <t>160-1725-1-ND</t>
        </is>
      </c>
      <c r="G19" s="11" t="inlineStr">
        <is>
          <t>ADVARSEL: OR-PL020W er en SIDE-EMITTER 3.8x1.2mm (LCSC-datablad) - LTW-670DS (PLCC-2 toppemitter) er FEIL pakketype. Finn side-view hvit LED eller kjop originalen fra LCSC (C205440) ved restock. Pris her gjelder LTW-670DS.</t>
        </is>
      </c>
    </row>
    <row r="20" ht="16.4" customHeight="1" s="6">
      <c r="A20" s="9" t="inlineStr">
        <is>
          <t>R1, R8, R9, R10</t>
        </is>
      </c>
      <c r="B20" s="5" t="n">
        <v>4</v>
      </c>
      <c r="C20" s="5" t="inlineStr">
        <is>
          <t>1MΩ</t>
        </is>
      </c>
      <c r="D20" s="10" t="n">
        <v>0.96</v>
      </c>
      <c r="E20" s="10">
        <f>IFERROR(B20*D20,"")</f>
        <v/>
      </c>
      <c r="F20" s="5" t="inlineStr">
        <is>
          <t>311-1.00MCRCT-ND</t>
        </is>
      </c>
      <c r="G20" s="11" t="inlineStr">
        <is>
          <t>Yageo RC0805FR-071ML</t>
        </is>
      </c>
    </row>
    <row r="21" ht="16.4" customHeight="1" s="6">
      <c r="A21" s="9" t="inlineStr">
        <is>
          <t>R4, R12</t>
        </is>
      </c>
      <c r="B21" s="5" t="n">
        <v>2</v>
      </c>
      <c r="C21" s="5" t="inlineStr">
        <is>
          <t>100kΩ</t>
        </is>
      </c>
      <c r="D21" s="10" t="n">
        <v>0.96</v>
      </c>
      <c r="E21" s="10">
        <f>IFERROR(B21*D21,"")</f>
        <v/>
      </c>
      <c r="F21" s="5" t="inlineStr">
        <is>
          <t>311-100KHRCT-ND</t>
        </is>
      </c>
      <c r="G21" s="11" t="inlineStr">
        <is>
          <t>Yageo RC0603FR-07100KL</t>
        </is>
      </c>
    </row>
    <row r="22" ht="16.4" customHeight="1" s="6">
      <c r="A22" s="9" t="inlineStr">
        <is>
          <t>R5</t>
        </is>
      </c>
      <c r="B22" s="5" t="n">
        <v>1</v>
      </c>
      <c r="C22" s="5" t="inlineStr">
        <is>
          <t>732kΩ</t>
        </is>
      </c>
      <c r="D22" s="10" t="n">
        <v>0.96</v>
      </c>
      <c r="E22" s="10">
        <f>IFERROR(B22*D22,"")</f>
        <v/>
      </c>
      <c r="F22" s="5" t="inlineStr">
        <is>
          <t>311-732KHRCT-ND</t>
        </is>
      </c>
      <c r="G22" s="11" t="inlineStr">
        <is>
          <t>Yageo RC0603FR-07732KL</t>
        </is>
      </c>
    </row>
    <row r="23" ht="16.4" customHeight="1" s="6">
      <c r="A23" s="9" t="inlineStr">
        <is>
          <t>R6, R7</t>
        </is>
      </c>
      <c r="B23" s="5" t="n">
        <v>2</v>
      </c>
      <c r="C23" s="5" t="inlineStr">
        <is>
          <t>4.7kΩ</t>
        </is>
      </c>
      <c r="D23" s="10" t="n">
        <v>0.96</v>
      </c>
      <c r="E23" s="10">
        <f>IFERROR(B23*D23,"")</f>
        <v/>
      </c>
      <c r="F23" s="5" t="inlineStr">
        <is>
          <t>311-4.70KCRCT-ND</t>
        </is>
      </c>
      <c r="G23" s="11" t="inlineStr">
        <is>
          <t>Yageo RC0805FR-074K7L</t>
        </is>
      </c>
    </row>
    <row r="24" ht="16.4" customHeight="1" s="6">
      <c r="A24" s="9" t="inlineStr">
        <is>
          <t>R13, R67</t>
        </is>
      </c>
      <c r="B24" s="5" t="n">
        <v>2</v>
      </c>
      <c r="C24" s="5" t="inlineStr">
        <is>
          <t>100kΩ</t>
        </is>
      </c>
      <c r="D24" s="10" t="n">
        <v>0.96</v>
      </c>
      <c r="E24" s="10">
        <f>IFERROR(B24*D24,"")</f>
        <v/>
      </c>
      <c r="F24" s="5" t="inlineStr">
        <is>
          <t>311-100KCRCT-ND</t>
        </is>
      </c>
      <c r="G24" s="11" t="inlineStr">
        <is>
          <t>Yageo RC0805FR-07100KL</t>
        </is>
      </c>
    </row>
    <row r="25" ht="16.4" customHeight="1" s="6">
      <c r="A25" s="9" t="inlineStr">
        <is>
          <t>R15, R54, R56</t>
        </is>
      </c>
      <c r="B25" s="5" t="n">
        <v>3</v>
      </c>
      <c r="C25" s="5" t="inlineStr">
        <is>
          <t>470Ω</t>
        </is>
      </c>
      <c r="D25" s="10" t="n">
        <v>0.96</v>
      </c>
      <c r="E25" s="10">
        <f>IFERROR(B25*D25,"")</f>
        <v/>
      </c>
      <c r="F25" s="5" t="inlineStr">
        <is>
          <t>311-470CRCT-ND</t>
        </is>
      </c>
      <c r="G25" s="11" t="inlineStr">
        <is>
          <t>Yageo RC0805FR-07470RL</t>
        </is>
      </c>
    </row>
    <row r="26" ht="16.4" customHeight="1" s="6">
      <c r="A26" s="9" t="inlineStr">
        <is>
          <t>R16, R18, R55, R57, R58, R63, R68</t>
        </is>
      </c>
      <c r="B26" s="5" t="n">
        <v>7</v>
      </c>
      <c r="C26" s="5" t="inlineStr">
        <is>
          <t>10kΩ</t>
        </is>
      </c>
      <c r="D26" s="10" t="n">
        <v>0.96</v>
      </c>
      <c r="E26" s="10">
        <f>IFERROR(B26*D26,"")</f>
        <v/>
      </c>
      <c r="F26" s="5" t="inlineStr">
        <is>
          <t>311-10.0KCRCT-ND</t>
        </is>
      </c>
      <c r="G26" s="11" t="inlineStr">
        <is>
          <t>v3 change queued: amp ~SD pull-up should become pull-DOWN (boot noise). | Yageo RC0805FR-0710KL</t>
        </is>
      </c>
    </row>
    <row r="27" ht="46.25" customHeight="1" s="6">
      <c r="A27" s="9" t="inlineStr">
        <is>
          <t>R20, R21, R22, R23, R24, R25, R26, R27, R28, R29, R30, R31, R32, R33, R34, R35, R36, R37, R38, R39, R40, R41, R42, R43, R44, R45, R46, R47, R48, R49, R50, R51, R52, R53</t>
        </is>
      </c>
      <c r="B27" s="5" t="n">
        <v>34</v>
      </c>
      <c r="C27" s="5" t="inlineStr">
        <is>
          <t>80Ω</t>
        </is>
      </c>
      <c r="D27" s="10" t="n">
        <v>0.96</v>
      </c>
      <c r="E27" s="10">
        <f>IFERROR(B27*D27,"")</f>
        <v/>
      </c>
      <c r="F27" s="5" t="inlineStr">
        <is>
          <t>311-80.6CRCT-ND</t>
        </is>
      </c>
      <c r="G27" s="11" t="inlineStr">
        <is>
          <t>Yageo RC0805FR-0780R6L - 80.6 ohm E96 (80 ohm finnes ikke i E96; 0,75% avvik)</t>
        </is>
      </c>
    </row>
    <row r="28" ht="16.4" customHeight="1" s="6">
      <c r="A28" s="9" t="inlineStr">
        <is>
          <t>R66</t>
        </is>
      </c>
      <c r="B28" s="5" t="n">
        <v>1</v>
      </c>
      <c r="C28" s="5" t="inlineStr">
        <is>
          <t>1kΩ</t>
        </is>
      </c>
      <c r="D28" s="10" t="n">
        <v>0.96</v>
      </c>
      <c r="E28" s="10">
        <f>IFERROR(B28*D28,"")</f>
        <v/>
      </c>
      <c r="F28" s="5" t="inlineStr">
        <is>
          <t>311-1.00KCRCT-ND</t>
        </is>
      </c>
      <c r="G28" s="11" t="inlineStr">
        <is>
          <t>Yageo RC0805FR-071KL</t>
        </is>
      </c>
    </row>
    <row r="29" ht="16.4" customHeight="1" s="6">
      <c r="A29" s="9" t="inlineStr">
        <is>
          <t>SW1, SW2, SW3, SW4, SW5</t>
        </is>
      </c>
      <c r="B29" s="5" t="n">
        <v>5</v>
      </c>
      <c r="C29" s="5" t="inlineStr">
        <is>
          <t>TS-1187A-B-A-B</t>
        </is>
      </c>
      <c r="D29" s="10" t="n">
        <v>3.47</v>
      </c>
      <c r="E29" s="10">
        <f>IFERROR(B29*D29,"")</f>
        <v/>
      </c>
      <c r="F29" s="5" t="inlineStr">
        <is>
          <t>1146840</t>
        </is>
      </c>
      <c r="G29" s="11" t="inlineStr">
        <is>
          <t>EQUIVALENT: C&amp;K PTS645SM43SMTR92 6x6 SMD tact (TS-1187A-B-A-B ikke hos DigiKey); pris per stk</t>
        </is>
      </c>
    </row>
    <row r="30" ht="16.4" customHeight="1" s="6">
      <c r="A30" s="9" t="inlineStr">
        <is>
          <t>U1</t>
        </is>
      </c>
      <c r="B30" s="5" t="n">
        <v>1</v>
      </c>
      <c r="C30" s="5" t="inlineStr">
        <is>
          <t>TPA2016D2RTJR</t>
        </is>
      </c>
      <c r="D30" s="10" t="n">
        <v>22.57</v>
      </c>
      <c r="E30" s="10">
        <f>IFERROR(B30*D30,"")</f>
        <v/>
      </c>
      <c r="F30" s="5" t="inlineStr">
        <is>
          <t>296-25430-1-ND</t>
        </is>
      </c>
      <c r="G30" s="11" t="n"/>
    </row>
    <row r="31" ht="16.4" customHeight="1" s="6">
      <c r="A31" s="9" t="inlineStr">
        <is>
          <t>U2</t>
        </is>
      </c>
      <c r="B31" s="5" t="n">
        <v>1</v>
      </c>
      <c r="C31" s="5" t="inlineStr">
        <is>
          <t>PRTR5V0U2X_C2827688</t>
        </is>
      </c>
      <c r="D31" s="10" t="n">
        <v>8.1</v>
      </c>
      <c r="E31" s="10">
        <f>IFERROR(B31*D31,"")</f>
        <v/>
      </c>
      <c r="F31" s="5" t="inlineStr">
        <is>
          <t>1727-PRTR5V0U2X,215CT-ND</t>
        </is>
      </c>
      <c r="G31" s="11" t="n"/>
    </row>
    <row r="32" ht="16.4" customHeight="1" s="6">
      <c r="A32" s="9" t="inlineStr">
        <is>
          <t>U3</t>
        </is>
      </c>
      <c r="B32" s="5" t="n">
        <v>1</v>
      </c>
      <c r="C32" s="5" t="inlineStr">
        <is>
          <t>NPM1300-QEAA-R7</t>
        </is>
      </c>
      <c r="D32" s="10" t="n">
        <v>28.45</v>
      </c>
      <c r="E32" s="10">
        <f>IFERROR(B32*D32,"")</f>
        <v/>
      </c>
      <c r="F32" s="5" t="inlineStr">
        <is>
          <t>4823-NPM1300-QEAA-R7CT-ND</t>
        </is>
      </c>
      <c r="G32" s="11" t="n"/>
    </row>
    <row r="33" ht="16.4" customHeight="1" s="6">
      <c r="A33" s="9" t="inlineStr">
        <is>
          <t>U4</t>
        </is>
      </c>
      <c r="B33" s="5" t="n">
        <v>1</v>
      </c>
      <c r="C33" s="5" t="inlineStr">
        <is>
          <t>L86-M33</t>
        </is>
      </c>
      <c r="D33" s="10" t="n">
        <v>127.31</v>
      </c>
      <c r="E33" s="10">
        <f>IFERROR(B33*D33,"")</f>
        <v/>
      </c>
      <c r="F33" s="5" t="inlineStr">
        <is>
          <t>13278361</t>
        </is>
      </c>
      <c r="G33" s="11" t="inlineStr">
        <is>
          <t>Quectel L86-M33 - lagerfort hos DigiKey</t>
        </is>
      </c>
    </row>
    <row r="34" ht="16.4" customHeight="1" s="6">
      <c r="A34" s="9" t="inlineStr">
        <is>
          <t>U5</t>
        </is>
      </c>
      <c r="B34" s="5" t="n">
        <v>1</v>
      </c>
      <c r="C34" s="5" t="inlineStr">
        <is>
          <t>RV-3028-C7</t>
        </is>
      </c>
      <c r="D34" s="10" t="n">
        <v>24.59</v>
      </c>
      <c r="E34" s="10">
        <f>IFERROR(B34*D34,"")</f>
        <v/>
      </c>
      <c r="F34" s="5" t="inlineStr">
        <is>
          <t>2195-RV-3028-C732.768KHZ1PPM-TA-QCCT-ND</t>
        </is>
      </c>
      <c r="G34" s="11" t="inlineStr">
        <is>
          <t>RV-3028-C7 32.768KHZ 1PPM-TA-QC</t>
        </is>
      </c>
    </row>
    <row r="35" ht="16.4" customHeight="1" s="6">
      <c r="A35" s="9" t="inlineStr">
        <is>
          <t>U6</t>
        </is>
      </c>
      <c r="B35" s="5" t="n">
        <v>1</v>
      </c>
      <c r="C35" s="5" t="inlineStr">
        <is>
          <t>TPS61023DRLR</t>
        </is>
      </c>
      <c r="D35" s="10" t="n">
        <v>11.77</v>
      </c>
      <c r="E35" s="10">
        <f>IFERROR(B35*D35,"")</f>
        <v/>
      </c>
      <c r="F35" s="5" t="inlineStr">
        <is>
          <t>296-TPS61023DRLRCT-ND</t>
        </is>
      </c>
      <c r="G35" s="11" t="n"/>
    </row>
    <row r="36" ht="16.4" customHeight="1" s="6">
      <c r="A36" s="9" t="inlineStr">
        <is>
          <t>U7</t>
        </is>
      </c>
      <c r="B36" s="5" t="n">
        <v>1</v>
      </c>
      <c r="C36" s="5" t="inlineStr">
        <is>
          <t>LIS3DH</t>
        </is>
      </c>
      <c r="D36" s="10" t="n">
        <v>18.71</v>
      </c>
      <c r="E36" s="10">
        <f>IFERROR(B36*D36,"")</f>
        <v/>
      </c>
      <c r="F36" s="5" t="inlineStr">
        <is>
          <t>497-10613-1-ND</t>
        </is>
      </c>
      <c r="G36" s="11" t="inlineStr">
        <is>
          <t>LIS3DHTR</t>
        </is>
      </c>
    </row>
    <row r="37" ht="16.4" customHeight="1" s="6">
      <c r="A37" s="9" t="inlineStr">
        <is>
          <t>U8</t>
        </is>
      </c>
      <c r="B37" s="5" t="n">
        <v>1</v>
      </c>
      <c r="C37" s="5" t="inlineStr">
        <is>
          <t>25Q128</t>
        </is>
      </c>
      <c r="D37" s="10" t="n">
        <v>40.61</v>
      </c>
      <c r="E37" s="10">
        <f>IFERROR(B37*D37,"")</f>
        <v/>
      </c>
      <c r="F37" s="5" t="inlineStr">
        <is>
          <t>W25Q128JVSIQCT-ND</t>
        </is>
      </c>
      <c r="G37" s="11" t="inlineStr">
        <is>
          <t>Correct part: W25Q128JVSIQ (3.0V). A 1.8V W25Q128FW was fitted by mistake once; do not repeat.</t>
        </is>
      </c>
    </row>
    <row r="38" ht="16.4" customHeight="1" s="6">
      <c r="A38" s="9" t="inlineStr">
        <is>
          <t>U9</t>
        </is>
      </c>
      <c r="B38" s="5" t="n">
        <v>1</v>
      </c>
      <c r="C38" s="5" t="inlineStr">
        <is>
          <t>74LVC1G17</t>
        </is>
      </c>
      <c r="D38" s="10" t="n">
        <v>1.45</v>
      </c>
      <c r="E38" s="10">
        <f>IFERROR(B38*D38,"")</f>
        <v/>
      </c>
      <c r="F38" s="5" t="inlineStr">
        <is>
          <t>296-11933-1-ND</t>
        </is>
      </c>
      <c r="G38" s="11" t="inlineStr">
        <is>
          <t>SN74LVC1G17DBVR</t>
        </is>
      </c>
    </row>
    <row r="39" ht="16.4" customHeight="1" s="6">
      <c r="A39" s="9" t="inlineStr">
        <is>
          <t>U10, U11, U12</t>
        </is>
      </c>
      <c r="B39" s="5" t="n">
        <v>3</v>
      </c>
      <c r="C39" s="5" t="inlineStr">
        <is>
          <t>IRLML6344TRPBF</t>
        </is>
      </c>
      <c r="D39" s="10" t="n">
        <v>4.53</v>
      </c>
      <c r="E39" s="10">
        <f>IFERROR(B39*D39,"")</f>
        <v/>
      </c>
      <c r="F39" s="5" t="inlineStr">
        <is>
          <t>IRLML6344TRPBFCT-ND</t>
        </is>
      </c>
      <c r="G39" s="11" t="inlineStr">
        <is>
          <t>pris per stk</t>
        </is>
      </c>
    </row>
    <row r="40" ht="16.4" customHeight="1" s="6">
      <c r="A40" s="9" t="inlineStr">
        <is>
          <t>U14</t>
        </is>
      </c>
      <c r="B40" s="5" t="n">
        <v>1</v>
      </c>
      <c r="C40" s="5" t="inlineStr">
        <is>
          <t>LM3671MFX-3.3/NOPB</t>
        </is>
      </c>
      <c r="D40" s="10" t="n">
        <v>16.98</v>
      </c>
      <c r="E40" s="10">
        <f>IFERROR(B40*D40,"")</f>
        <v/>
      </c>
      <c r="F40" s="5" t="inlineStr">
        <is>
          <t>296-45289-1-ND</t>
        </is>
      </c>
      <c r="G40" s="11" t="n"/>
    </row>
    <row r="41" ht="16.4" customHeight="1" s="6">
      <c r="A41" s="9" t="inlineStr">
        <is>
          <t>U18</t>
        </is>
      </c>
      <c r="B41" s="5" t="n">
        <v>1</v>
      </c>
      <c r="C41" s="5" t="inlineStr">
        <is>
          <t>ATSAMD51J19A-AUT</t>
        </is>
      </c>
      <c r="D41" s="10" t="n">
        <v>64.81</v>
      </c>
      <c r="E41" s="10">
        <f>IFERROR(B41*D41,"")</f>
        <v/>
      </c>
      <c r="F41" s="5" t="inlineStr">
        <is>
          <t>ATSAMD51J20A-AUT-ND</t>
        </is>
      </c>
      <c r="G41" s="11" t="inlineStr">
        <is>
          <t>Schematic says SAMD51J19A - FITTED PART IS SAMD51J20A (verified via bossac). Order J20A.</t>
        </is>
      </c>
    </row>
    <row r="42" ht="16.4" customHeight="1" s="6">
      <c r="A42" s="9" t="inlineStr">
        <is>
          <t>X1</t>
        </is>
      </c>
      <c r="B42" s="5" t="n">
        <v>1</v>
      </c>
      <c r="C42" s="5" t="inlineStr">
        <is>
          <t>32.768</t>
        </is>
      </c>
      <c r="D42" s="10" t="n">
        <v>25.66</v>
      </c>
      <c r="E42" s="10">
        <f>IFERROR(B42*D42,"")</f>
        <v/>
      </c>
      <c r="F42" s="5" t="inlineStr">
        <is>
          <t>SER4071CT-ND</t>
        </is>
      </c>
      <c r="G42" s="11" t="inlineStr">
        <is>
          <t>Epson FC-135R 32.7680KA-A3 (= Q13FC1350000500-krystallen under ordrekode)</t>
        </is>
      </c>
    </row>
    <row r="43"/>
    <row r="44">
      <c r="A44" s="12" t="inlineStr">
        <is>
          <t>Sum komponenter (qty x pris, eks. mva, qty-1-priser):</t>
        </is>
      </c>
      <c r="D44" s="13" t="n"/>
      <c r="E44" s="13">
        <f>SUM(E5:E42)</f>
        <v/>
      </c>
    </row>
    <row r="45">
      <c r="A45" s="5" t="inlineStr">
        <is>
          <t>Priser fra digikey.no 2026-08-16, eks. mva. EQUIVALENT = original ikke lagerfort hos DigiKey.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2026-08-15T22:41:04Z</dcterms:created>
  <dcterms:modified xmlns:dcterms="http://purl.org/dc/terms/" xmlns:xsi="http://www.w3.org/2001/XMLSchema-instance" xsi:type="dcterms:W3CDTF">2026-08-15T23:16:17Z</dcterms:modified>
  <cp:revision>2</cp:revision>
</cp:coreProperties>
</file>