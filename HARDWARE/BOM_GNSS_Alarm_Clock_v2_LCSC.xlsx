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0.0000"/>
    <numFmt numFmtId="165" formatCode="\$0.00"/>
    <numFmt numFmtId="166" formatCode="0.00&quot; kr&quot;"/>
    <numFmt numFmtId="167" formatCode="$0.00"/>
    <numFmt numFmtId="168" formatCode="0.00 &quot;kr&quot;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3" borderId="0" pivotButton="0" quotePrefix="0" xfId="0"/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0" fontId="6" fillId="0" borderId="0" pivotButton="0" quotePrefix="0" xfId="0"/>
    <xf numFmtId="168" fontId="0" fillId="0" borderId="0" pivotButton="0" quotePrefix="0" xfId="0"/>
    <xf numFmtId="168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F19" activeCellId="0" sqref="F19"/>
    </sheetView>
  </sheetViews>
  <sheetFormatPr baseColWidth="8" defaultColWidth="8.59765625" defaultRowHeight="15" zeroHeight="0" outlineLevelRow="0"/>
  <cols>
    <col width="55.64" customWidth="1" style="11" min="1" max="1"/>
    <col width="6" customWidth="1" style="11" min="2" max="2"/>
    <col width="30.64" customWidth="1" style="11" min="3" max="3"/>
    <col width="34" customWidth="1" style="11" min="4" max="4"/>
    <col width="7" customWidth="1" style="11" min="5" max="5"/>
    <col width="17" customWidth="1" style="11" min="6" max="6"/>
    <col width="15" customWidth="1" style="11" min="7" max="7"/>
    <col width="66" customWidth="1" style="12" min="8" max="8"/>
  </cols>
  <sheetData>
    <row r="1" ht="17.25" customHeight="1" s="12">
      <c r="A1" s="13" t="inlineStr">
        <is>
          <t>GNSS Alarm Clock v2 - Bill of Materials</t>
        </is>
      </c>
    </row>
    <row r="2" ht="15" customHeight="1" s="12">
      <c r="A2" s="11" t="inlineStr">
        <is>
          <t>Generated from HARDWARE/GNSS_Alarm_Clock.kicad_pcb, 2026-08-10. 146 components, 38 unique parts. Resistor value notation normalized (schematic mixes 100KΩ/100k/100kΩ).</t>
        </is>
      </c>
    </row>
    <row r="4" ht="15" customHeight="1" s="12">
      <c r="A4" s="14" t="inlineStr">
        <is>
          <t>Designators</t>
        </is>
      </c>
      <c r="B4" s="14" t="inlineStr">
        <is>
          <t>Qty</t>
        </is>
      </c>
      <c r="C4" s="14" t="inlineStr">
        <is>
          <t>Value / Part</t>
        </is>
      </c>
      <c r="D4" s="14" t="inlineStr">
        <is>
          <t>Price (USD)</t>
        </is>
      </c>
      <c r="E4" s="15" t="inlineStr">
        <is>
          <t>MOQ</t>
        </is>
      </c>
      <c r="F4" s="14" t="inlineStr">
        <is>
          <t>Line total (USD)</t>
        </is>
      </c>
      <c r="G4" s="14" t="inlineStr">
        <is>
          <t>LCSC Partnumber</t>
        </is>
      </c>
      <c r="H4" s="14" t="inlineStr">
        <is>
          <t>Notes</t>
        </is>
      </c>
    </row>
    <row r="5" ht="15.75" customHeight="1" s="12">
      <c r="A5" s="16" t="inlineStr">
        <is>
          <t>C1, C3, C4</t>
        </is>
      </c>
      <c r="B5" s="11" t="n">
        <v>3</v>
      </c>
      <c r="C5" s="11" t="inlineStr">
        <is>
          <t>22uF</t>
        </is>
      </c>
      <c r="D5" s="17" t="n">
        <v>0.1173</v>
      </c>
      <c r="E5" s="11" t="n">
        <v>1</v>
      </c>
      <c r="F5" s="18">
        <f>IFERROR(MAX(B5,E5)*D5,"")</f>
        <v/>
      </c>
      <c r="G5" s="11" t="inlineStr">
        <is>
          <t>C296720</t>
        </is>
      </c>
      <c r="H5" s="16" t="inlineStr">
        <is>
          <t>Samsung CL21A226KOQNNNE 22uF 16V X5R (16V slaar spec; 25V-varianten utsolgt)</t>
        </is>
      </c>
    </row>
    <row r="6" ht="15.75" customHeight="1" s="12">
      <c r="A6" s="16" t="inlineStr">
        <is>
          <t>C2, C5, C26</t>
        </is>
      </c>
      <c r="B6" s="11" t="n">
        <v>3</v>
      </c>
      <c r="C6" s="11" t="inlineStr">
        <is>
          <t>1uF</t>
        </is>
      </c>
      <c r="D6" s="17" t="n">
        <v>0.0507</v>
      </c>
      <c r="E6" s="11" t="n">
        <v>10</v>
      </c>
      <c r="F6" s="18">
        <f>IFERROR(MAX(B6,E6)*D6,"")</f>
        <v/>
      </c>
      <c r="G6" s="11" t="inlineStr">
        <is>
          <t>C28323</t>
        </is>
      </c>
      <c r="H6" s="16" t="inlineStr">
        <is>
          <t>Samsung CL21B105KBFNNNE 1uF 50V X7R, MOQ 10</t>
        </is>
      </c>
    </row>
    <row r="7" ht="15.75" customHeight="1" s="12">
      <c r="A7" s="16" t="inlineStr">
        <is>
          <t>C6, C7, C8, C9, C10, C11, C12, C16, C17, C19, C20, C22, C28, C29</t>
        </is>
      </c>
      <c r="B7" s="11" t="n">
        <v>14</v>
      </c>
      <c r="C7" s="11" t="inlineStr">
        <is>
          <t>10uF</t>
        </is>
      </c>
      <c r="D7" s="17" t="n">
        <v>0.1007</v>
      </c>
      <c r="E7" s="11" t="n">
        <v>20</v>
      </c>
      <c r="F7" s="18">
        <f>IFERROR(MAX(B7,E7)*D7,"")</f>
        <v/>
      </c>
      <c r="G7" s="11" t="inlineStr">
        <is>
          <t>C15850</t>
        </is>
      </c>
      <c r="H7" s="16" t="inlineStr">
        <is>
          <t>Samsung CL21A106KAYNNNE 10uF 25V X5R, MOQ 20</t>
        </is>
      </c>
    </row>
    <row r="8" ht="15.75" customHeight="1" s="12">
      <c r="A8" s="16" t="inlineStr">
        <is>
          <t>C13</t>
        </is>
      </c>
      <c r="B8" s="11" t="n">
        <v>1</v>
      </c>
      <c r="C8" s="11" t="inlineStr">
        <is>
          <t>4.7uF</t>
        </is>
      </c>
      <c r="D8" s="17" t="n">
        <v>0.044</v>
      </c>
      <c r="E8" s="11" t="n">
        <v>20</v>
      </c>
      <c r="F8" s="18">
        <f>IFERROR(MAX(B8,E8)*D8,"")</f>
        <v/>
      </c>
      <c r="G8" s="11" t="inlineStr">
        <is>
          <t>C1779</t>
        </is>
      </c>
      <c r="H8" s="16" t="inlineStr">
        <is>
          <t>Samsung CL21A475KAQNNNE 25V, MOQ 20</t>
        </is>
      </c>
    </row>
    <row r="9" ht="15.75" customHeight="1" s="12">
      <c r="A9" s="16" t="inlineStr">
        <is>
          <t>C14, C15, C27</t>
        </is>
      </c>
      <c r="B9" s="11" t="n">
        <v>3</v>
      </c>
      <c r="C9" s="11" t="inlineStr">
        <is>
          <t>100nF</t>
        </is>
      </c>
      <c r="D9" s="17" t="n">
        <v>0.0234</v>
      </c>
      <c r="E9" s="11" t="n">
        <v>20</v>
      </c>
      <c r="F9" s="18">
        <f>IFERROR(MAX(B9,E9)*D9,"")</f>
        <v/>
      </c>
      <c r="G9" s="11" t="inlineStr">
        <is>
          <t>C49678</t>
        </is>
      </c>
      <c r="H9" s="16" t="inlineStr">
        <is>
          <t>YAGEO CC0805KRX7R9BB104, MOQ 20</t>
        </is>
      </c>
    </row>
    <row r="10" ht="15.75" customHeight="1" s="12">
      <c r="A10" s="16" t="inlineStr">
        <is>
          <t>C18, C21</t>
        </is>
      </c>
      <c r="B10" s="11" t="n">
        <v>2</v>
      </c>
      <c r="C10" s="11" t="inlineStr">
        <is>
          <t>220uF</t>
        </is>
      </c>
      <c r="D10" s="17" t="n">
        <v>0.0384</v>
      </c>
      <c r="E10" s="11" t="n">
        <v>20</v>
      </c>
      <c r="F10" s="18">
        <f>IFERROR(MAX(B10,E10)*D10,"")</f>
        <v/>
      </c>
      <c r="G10" s="11" t="inlineStr">
        <is>
          <t>C970693</t>
        </is>
      </c>
      <c r="H10" s="16" t="inlineStr">
        <is>
          <t>Bulk electrolytic - polymer upgrade candidate. | DMBJ RVT0J221M0605 (elko, kun 220 pa lager). Polymer-alternativ: Panasonic 6SVPC330M = C139569, $0.71/stk, 1040 pa lager</t>
        </is>
      </c>
    </row>
    <row r="11" ht="15.75" customHeight="1" s="12">
      <c r="A11" s="16" t="inlineStr">
        <is>
          <t>C24, C25</t>
        </is>
      </c>
      <c r="B11" s="11" t="n">
        <v>2</v>
      </c>
      <c r="C11" s="11" t="inlineStr">
        <is>
          <t>10pF</t>
        </is>
      </c>
      <c r="D11" s="17" t="n">
        <v>0.0183</v>
      </c>
      <c r="E11" s="11" t="n">
        <v>100</v>
      </c>
      <c r="F11" s="18">
        <f>IFERROR(MAX(B11,E11)*D11,"")</f>
        <v/>
      </c>
      <c r="G11" s="11" t="inlineStr">
        <is>
          <t>C107107</t>
        </is>
      </c>
      <c r="H11" s="16" t="inlineStr">
        <is>
          <t>YAGEO CC0805JRNPO9BN100 NP0, MOQ 100 (~$1.83 min-kjop)</t>
        </is>
      </c>
    </row>
    <row r="12" ht="15.75" customHeight="1" s="12">
      <c r="A12" s="16" t="inlineStr">
        <is>
          <t>J1</t>
        </is>
      </c>
      <c r="B12" s="11" t="n">
        <v>1</v>
      </c>
      <c r="C12" s="11" t="inlineStr">
        <is>
          <t>USB4110GFA</t>
        </is>
      </c>
      <c r="D12" s="17" t="n">
        <v>1.5708</v>
      </c>
      <c r="E12" s="11" t="n">
        <v>1</v>
      </c>
      <c r="F12" s="18">
        <f>IFERROR(MAX(B12,E12)*D12,"")</f>
        <v/>
      </c>
      <c r="G12" s="11" t="inlineStr">
        <is>
          <t>C5143397</t>
        </is>
      </c>
      <c r="H12" s="16" t="inlineStr">
        <is>
          <t>EKSAKT GCT USB4110-GF-A; 100+ @ $0.97</t>
        </is>
      </c>
    </row>
    <row r="13" ht="15.75" customHeight="1" s="12">
      <c r="A13" s="16" t="inlineStr">
        <is>
          <t>J3</t>
        </is>
      </c>
      <c r="B13" s="11" t="n">
        <v>1</v>
      </c>
      <c r="C13" s="11" t="inlineStr">
        <is>
          <t>SWD-Connector_3220-10-0100-00</t>
        </is>
      </c>
      <c r="D13" s="17" t="n">
        <v>1.5289</v>
      </c>
      <c r="E13" s="11" t="n">
        <v>1</v>
      </c>
      <c r="F13" s="18">
        <f>IFERROR(MAX(B13,E13)*D13,"")</f>
        <v/>
      </c>
      <c r="G13" s="11" t="inlineStr">
        <is>
          <t>C448647</t>
        </is>
      </c>
      <c r="H13" s="16" t="inlineStr">
        <is>
          <t>EQUIVALENT: Samtec FTSH-105-01-L-DV-K (CNC Tech-originalen ikke lagerfort) - standard ARM 2x5 1.27mm</t>
        </is>
      </c>
    </row>
    <row r="14" ht="15.75" customHeight="1" s="12">
      <c r="A14" s="16" t="inlineStr">
        <is>
          <t>J4</t>
        </is>
      </c>
      <c r="B14" s="11" t="n">
        <v>1</v>
      </c>
      <c r="C14" s="11" t="inlineStr">
        <is>
          <t>B8B-XH-A</t>
        </is>
      </c>
      <c r="D14" s="17" t="n">
        <v>0.148</v>
      </c>
      <c r="E14" s="11" t="n">
        <v>5</v>
      </c>
      <c r="F14" s="18">
        <f>IFERROR(MAX(B14,E14)*D14,"")</f>
        <v/>
      </c>
      <c r="G14" s="11" t="inlineStr">
        <is>
          <t>C157972</t>
        </is>
      </c>
      <c r="H14" s="16" t="inlineStr">
        <is>
          <t>EKSAKT B8B-XH-A(LF)(SN), MOQ 5</t>
        </is>
      </c>
    </row>
    <row r="15" ht="15.75" customHeight="1" s="12">
      <c r="A15" s="16" t="inlineStr">
        <is>
          <t>J6, J7</t>
        </is>
      </c>
      <c r="B15" s="11" t="n">
        <v>2</v>
      </c>
      <c r="C15" s="11" t="inlineStr">
        <is>
          <t>B2B-PH-K-S</t>
        </is>
      </c>
      <c r="D15" s="17" t="n">
        <v>0.0354</v>
      </c>
      <c r="E15" s="11" t="n">
        <v>20</v>
      </c>
      <c r="F15" s="18">
        <f>IFERROR(MAX(B15,E15)*D15,"")</f>
        <v/>
      </c>
      <c r="G15" s="11" t="inlineStr">
        <is>
          <t>C131337</t>
        </is>
      </c>
      <c r="H15" s="16" t="inlineStr">
        <is>
          <t>Battery connector (J7) - production cell: 505060 LiPo 3.7V 2000mAh with PCM. | EKSAKT B2B-PH-K-S(LF)(SN), MOQ 20; pris per stk</t>
        </is>
      </c>
    </row>
    <row r="16" ht="15.75" customHeight="1" s="12">
      <c r="A16" s="16" t="inlineStr">
        <is>
          <t>L1</t>
        </is>
      </c>
      <c r="B16" s="11" t="n">
        <v>1</v>
      </c>
      <c r="C16" s="11" t="inlineStr">
        <is>
          <t>2.2uH</t>
        </is>
      </c>
      <c r="D16" s="17" t="n">
        <v>0.3131</v>
      </c>
      <c r="E16" s="11" t="n">
        <v>1</v>
      </c>
      <c r="F16" s="18">
        <f>IFERROR(MAX(B16,E16)*D16,"")</f>
        <v/>
      </c>
      <c r="G16" s="11" t="inlineStr">
        <is>
          <t>C136245</t>
        </is>
      </c>
      <c r="H16" s="16" t="inlineStr">
        <is>
          <t>EKSAKT TDK VLCF4020T-2R2N1R7, 1543 pa lager (DigiKey: restordre!)</t>
        </is>
      </c>
    </row>
    <row r="17" ht="15.75" customHeight="1" s="12">
      <c r="A17" s="16" t="inlineStr">
        <is>
          <t>L2</t>
        </is>
      </c>
      <c r="B17" s="11" t="n">
        <v>1</v>
      </c>
      <c r="C17" s="11" t="inlineStr">
        <is>
          <t>1uH</t>
        </is>
      </c>
      <c r="D17" s="17" t="n">
        <v>0.06320000000000001</v>
      </c>
      <c r="E17" s="11" t="n">
        <v>1</v>
      </c>
      <c r="F17" s="18">
        <f>IFERROR(MAX(B17,E17)*D17,"")</f>
        <v/>
      </c>
      <c r="G17" s="11" t="inlineStr">
        <is>
          <t>C340375</t>
        </is>
      </c>
      <c r="H17" s="16" t="inlineStr">
        <is>
          <t>YJYCOIN YNR4020-1R0N 1uH 2.15A - NB 2.0mm hoy vs originalens 1.2mm, sjekk klaring. Eksakt YXMAA0412 = C241325, men kun via szlcsc/JLCPCB</t>
        </is>
      </c>
    </row>
    <row r="18" ht="15.75" customHeight="1" s="12">
      <c r="A18" s="16" t="inlineStr">
        <is>
          <t>L4</t>
        </is>
      </c>
      <c r="B18" s="11" t="n">
        <v>1</v>
      </c>
      <c r="C18" s="11" t="inlineStr">
        <is>
          <t>10uH</t>
        </is>
      </c>
      <c r="D18" s="17" t="n">
        <v>0.0834</v>
      </c>
      <c r="E18" s="11" t="n">
        <v>10</v>
      </c>
      <c r="F18" s="18">
        <f>IFERROR(MAX(B18,E18)*D18,"")</f>
        <v/>
      </c>
      <c r="G18" s="11" t="inlineStr">
        <is>
          <t>C5832376</t>
        </is>
      </c>
      <c r="H18" s="16" t="inlineStr">
        <is>
          <t>cjiang FTC252012S100MBCA 10uH 1008, MOQ 10</t>
        </is>
      </c>
    </row>
    <row r="19" ht="60.75" customHeight="1" s="12">
      <c r="A19" s="16" t="inlineStr">
        <is>
          <t>LED1, LED2, LED3, LED4, LED5, LED6, LED7, LED8, LED9, LED10, LED11, LED12, LED13, LED14, LED15, LED16, LED17, LED18, LED19, LED20, LED21, LED22, LED23, LED24, LED25, LED26, LED27, LED28, LED29, LED30, LED31, LED32, LED33, LED34</t>
        </is>
      </c>
      <c r="B19" s="11" t="n">
        <v>34</v>
      </c>
      <c r="C19" s="11" t="inlineStr">
        <is>
          <t>OR-PL020W</t>
        </is>
      </c>
      <c r="D19" s="17" t="n">
        <v>0.02</v>
      </c>
      <c r="E19" s="11" t="n">
        <v>1</v>
      </c>
      <c r="F19" s="18">
        <f>IFERROR(MAX(B19,E19)*D19,"")</f>
        <v/>
      </c>
      <c r="G19" s="11" t="inlineStr">
        <is>
          <t>C205440</t>
        </is>
      </c>
      <c r="H19" s="16" t="inlineStr">
        <is>
          <t>EKSAKT OR-PL020W lagerfort hos LCSC men UTSOLGT (ingen pris). NB: original er SIDE-EMITTER 3.8x1.2mm - in-stock 'ekvivalenter' i PLCC-2/3528 (topp-emitter) er FEIL pakke. Vent pa restock eller finn side-view-ekvivalent</t>
        </is>
      </c>
    </row>
    <row r="20" ht="15.75" customHeight="1" s="12">
      <c r="A20" s="16" t="inlineStr">
        <is>
          <t>R1, R8, R9, R10</t>
        </is>
      </c>
      <c r="B20" s="11" t="n">
        <v>4</v>
      </c>
      <c r="C20" s="11" t="inlineStr">
        <is>
          <t>1MΩ</t>
        </is>
      </c>
      <c r="D20" s="17" t="n">
        <v>0.0078</v>
      </c>
      <c r="E20" s="11" t="n">
        <v>100</v>
      </c>
      <c r="F20" s="18">
        <f>IFERROR(MAX(B20,E20)*D20,"")</f>
        <v/>
      </c>
      <c r="G20" s="11" t="inlineStr">
        <is>
          <t>C17514</t>
        </is>
      </c>
      <c r="H20" s="16" t="inlineStr">
        <is>
          <t>UNI-ROYAL 0805W8F1004T5E, MOQ 100</t>
        </is>
      </c>
    </row>
    <row r="21" ht="15.75" customHeight="1" s="12">
      <c r="A21" s="16" t="inlineStr">
        <is>
          <t>R4, R12</t>
        </is>
      </c>
      <c r="B21" s="11" t="n">
        <v>2</v>
      </c>
      <c r="C21" s="11" t="inlineStr">
        <is>
          <t>100kΩ</t>
        </is>
      </c>
      <c r="D21" s="17" t="n">
        <v>0.0068</v>
      </c>
      <c r="E21" s="11" t="n">
        <v>100</v>
      </c>
      <c r="F21" s="18">
        <f>IFERROR(MAX(B21,E21)*D21,"")</f>
        <v/>
      </c>
      <c r="G21" s="11" t="inlineStr">
        <is>
          <t>C25803</t>
        </is>
      </c>
      <c r="H21" s="16" t="inlineStr">
        <is>
          <t>UNI-ROYAL 0603WAF1003T5E, MOQ 100</t>
        </is>
      </c>
    </row>
    <row r="22" ht="15.75" customHeight="1" s="12">
      <c r="A22" s="16" t="inlineStr">
        <is>
          <t>R5</t>
        </is>
      </c>
      <c r="B22" s="11" t="n">
        <v>1</v>
      </c>
      <c r="C22" s="11" t="inlineStr">
        <is>
          <t>732kΩ</t>
        </is>
      </c>
      <c r="D22" s="17" t="n">
        <v>0.0025</v>
      </c>
      <c r="E22" s="11" t="n">
        <v>100</v>
      </c>
      <c r="F22" s="18">
        <f>IFERROR(MAX(B22,E22)*D22,"")</f>
        <v/>
      </c>
      <c r="G22" s="11" t="inlineStr">
        <is>
          <t>C23239</t>
        </is>
      </c>
      <c r="H22" s="16" t="inlineStr">
        <is>
          <t>UNI-ROYAL 0603WAF7323T5E, MOQ 100</t>
        </is>
      </c>
    </row>
    <row r="23" ht="15.75" customHeight="1" s="12">
      <c r="A23" s="16" t="inlineStr">
        <is>
          <t>R6, R7</t>
        </is>
      </c>
      <c r="B23" s="11" t="n">
        <v>2</v>
      </c>
      <c r="C23" s="11" t="inlineStr">
        <is>
          <t>4.7kΩ</t>
        </is>
      </c>
      <c r="D23" s="17" t="n">
        <v>0.008200000000000001</v>
      </c>
      <c r="E23" s="11" t="n">
        <v>100</v>
      </c>
      <c r="F23" s="18">
        <f>IFERROR(MAX(B23,E23)*D23,"")</f>
        <v/>
      </c>
      <c r="G23" s="11" t="inlineStr">
        <is>
          <t>C17673</t>
        </is>
      </c>
      <c r="H23" s="16" t="inlineStr">
        <is>
          <t>UNI-ROYAL 0805W8F4701T5E, MOQ 100</t>
        </is>
      </c>
    </row>
    <row r="24" ht="15.75" customHeight="1" s="12">
      <c r="A24" s="16" t="inlineStr">
        <is>
          <t>R13, R67</t>
        </is>
      </c>
      <c r="B24" s="11" t="n">
        <v>2</v>
      </c>
      <c r="C24" s="11" t="inlineStr">
        <is>
          <t>100kΩ</t>
        </is>
      </c>
      <c r="D24" s="17" t="n">
        <v>0.0019</v>
      </c>
      <c r="E24" s="11" t="n">
        <v>100</v>
      </c>
      <c r="F24" s="18">
        <f>IFERROR(MAX(B24,E24)*D24,"")</f>
        <v/>
      </c>
      <c r="G24" s="11" t="inlineStr">
        <is>
          <t>C17407</t>
        </is>
      </c>
      <c r="H24" s="16" t="inlineStr">
        <is>
          <t>UNI-ROYAL 0805W8F1003T5E, MOQ 100</t>
        </is>
      </c>
    </row>
    <row r="25" ht="15.75" customHeight="1" s="12">
      <c r="A25" s="16" t="inlineStr">
        <is>
          <t>R15, R54, R56</t>
        </is>
      </c>
      <c r="B25" s="11" t="n">
        <v>3</v>
      </c>
      <c r="C25" s="11" t="inlineStr">
        <is>
          <t>470Ω</t>
        </is>
      </c>
      <c r="D25" s="17" t="n">
        <v>0.0073</v>
      </c>
      <c r="E25" s="11" t="n">
        <v>100</v>
      </c>
      <c r="F25" s="18">
        <f>IFERROR(MAX(B25,E25)*D25,"")</f>
        <v/>
      </c>
      <c r="G25" s="11" t="inlineStr">
        <is>
          <t>C17710</t>
        </is>
      </c>
      <c r="H25" s="16" t="inlineStr">
        <is>
          <t>UNI-ROYAL 0805W8F4700T5E, MOQ 100</t>
        </is>
      </c>
    </row>
    <row r="26" ht="15.75" customHeight="1" s="12">
      <c r="A26" s="16" t="inlineStr">
        <is>
          <t>R16, R18, R55, R57, R58, R63, R68</t>
        </is>
      </c>
      <c r="B26" s="11" t="n">
        <v>7</v>
      </c>
      <c r="C26" s="11" t="inlineStr">
        <is>
          <t>10kΩ</t>
        </is>
      </c>
      <c r="D26" s="17" t="n">
        <v>0.0056</v>
      </c>
      <c r="E26" s="11" t="n">
        <v>100</v>
      </c>
      <c r="F26" s="18">
        <f>IFERROR(MAX(B26,E26)*D26,"")</f>
        <v/>
      </c>
      <c r="G26" s="11" t="inlineStr">
        <is>
          <t>C17414</t>
        </is>
      </c>
      <c r="H26" s="16" t="inlineStr">
        <is>
          <t>R68: v3 change queued - amp ~SD pull-up should become pull-DOWN. | UNI-ROYAL 0805W8F1002T5E, MOQ 100</t>
        </is>
      </c>
    </row>
    <row r="27" ht="45.75" customHeight="1" s="12">
      <c r="A27" s="16" t="inlineStr">
        <is>
          <t>R20, R21, R22, R23, R24, R25, R26, R27, R28, R29, R30, R31, R32, R33, R34, R35, R36, R37, R38, R39, R40, R41, R42, R43, R44, R45, R46, R47, R48, R49, R50, R51, R52, R53</t>
        </is>
      </c>
      <c r="B27" s="11" t="n">
        <v>34</v>
      </c>
      <c r="C27" s="11" t="inlineStr">
        <is>
          <t>80Ω</t>
        </is>
      </c>
      <c r="D27" s="17" t="n">
        <v>0.0025</v>
      </c>
      <c r="E27" s="11" t="n">
        <v>10</v>
      </c>
      <c r="F27" s="18">
        <f>IFERROR(MAX(B27,E27)*D27,"")</f>
        <v/>
      </c>
      <c r="G27" s="11" t="inlineStr">
        <is>
          <t>C17833</t>
        </is>
      </c>
      <c r="H27" s="16" t="inlineStr">
        <is>
          <t>UNI-ROYAL 0805W8F806JT5E 80.6R E96 (eksakt 80R finnes ikke), MOQ 10, 2320 pa lager</t>
        </is>
      </c>
    </row>
    <row r="28" ht="15.75" customHeight="1" s="12">
      <c r="A28" s="16" t="inlineStr">
        <is>
          <t>R66</t>
        </is>
      </c>
      <c r="B28" s="11" t="n">
        <v>1</v>
      </c>
      <c r="C28" s="11" t="inlineStr">
        <is>
          <t>1kΩ</t>
        </is>
      </c>
      <c r="D28" s="17" t="n">
        <v>0.0083</v>
      </c>
      <c r="E28" s="11" t="n">
        <v>100</v>
      </c>
      <c r="F28" s="18">
        <f>IFERROR(MAX(B28,E28)*D28,"")</f>
        <v/>
      </c>
      <c r="G28" s="11" t="inlineStr">
        <is>
          <t>C17513</t>
        </is>
      </c>
      <c r="H28" s="16" t="inlineStr">
        <is>
          <t>UNI-ROYAL 0805W8F1001T5E, MOQ 100</t>
        </is>
      </c>
    </row>
    <row r="29" ht="15.75" customHeight="1" s="12">
      <c r="A29" s="16" t="inlineStr">
        <is>
          <t>SW1, SW2, SW3, SW4, SW5</t>
        </is>
      </c>
      <c r="B29" s="11" t="n">
        <v>5</v>
      </c>
      <c r="C29" s="11" t="inlineStr">
        <is>
          <t>TS-1187A-B-A-B</t>
        </is>
      </c>
      <c r="D29" s="17" t="n">
        <v>0.0185</v>
      </c>
      <c r="E29" s="11" t="n">
        <v>20</v>
      </c>
      <c r="F29" s="18">
        <f>IFERROR(MAX(B29,E29)*D29,"")</f>
        <v/>
      </c>
      <c r="G29" s="11" t="inlineStr">
        <is>
          <t>C318884</t>
        </is>
      </c>
      <c r="H29" s="16" t="inlineStr">
        <is>
          <t>EKSAKT TS-1187A-B-A-B (XKB), MOQ 20 - 943k pa lager</t>
        </is>
      </c>
    </row>
    <row r="30" ht="15.75" customHeight="1" s="12">
      <c r="A30" s="16" t="inlineStr">
        <is>
          <t>U1</t>
        </is>
      </c>
      <c r="B30" s="11" t="n">
        <v>1</v>
      </c>
      <c r="C30" s="11" t="inlineStr">
        <is>
          <t>TPA2016D2RTJR</t>
        </is>
      </c>
      <c r="D30" s="17" t="n">
        <v>3.5323</v>
      </c>
      <c r="E30" s="11" t="n">
        <v>1</v>
      </c>
      <c r="F30" s="18">
        <f>IFERROR(MAX(B30,E30)*D30,"")</f>
        <v/>
      </c>
      <c r="G30" s="11" t="inlineStr">
        <is>
          <t>C412823</t>
        </is>
      </c>
      <c r="H30" s="16" t="n"/>
    </row>
    <row r="31" ht="15.75" customHeight="1" s="12">
      <c r="A31" s="16" t="inlineStr">
        <is>
          <t>U2</t>
        </is>
      </c>
      <c r="B31" s="11" t="n">
        <v>1</v>
      </c>
      <c r="C31" s="11" t="inlineStr">
        <is>
          <t>PRTR5V0U2X_C2827688</t>
        </is>
      </c>
      <c r="D31" s="17" t="n">
        <v>1.4751</v>
      </c>
      <c r="E31" s="11" t="n">
        <v>1</v>
      </c>
      <c r="F31" s="18">
        <f>IFERROR(MAX(B31,E31)*D31,"")</f>
        <v/>
      </c>
      <c r="G31" s="11" t="inlineStr">
        <is>
          <t>C12333</t>
        </is>
      </c>
      <c r="H31" s="16" t="n"/>
    </row>
    <row r="32" ht="15.75" customHeight="1" s="12">
      <c r="A32" s="16" t="inlineStr">
        <is>
          <t>U3</t>
        </is>
      </c>
      <c r="B32" s="11" t="n">
        <v>1</v>
      </c>
      <c r="C32" s="11" t="inlineStr">
        <is>
          <t>NPM1300-QEAA-R7</t>
        </is>
      </c>
      <c r="D32" s="17" t="n">
        <v>1.7482</v>
      </c>
      <c r="E32" s="11" t="n">
        <v>1</v>
      </c>
      <c r="F32" s="18">
        <f>IFERROR(MAX(B32,E32)*D32,"")</f>
        <v/>
      </c>
      <c r="G32" s="11" t="inlineStr">
        <is>
          <t>C7501206</t>
        </is>
      </c>
      <c r="H32" s="16" t="inlineStr">
        <is>
          <t>UTSOLGT hos LCSC - kjop hos DigiKey (28,45 kr)</t>
        </is>
      </c>
    </row>
    <row r="33" ht="15.75" customHeight="1" s="12">
      <c r="A33" s="16" t="inlineStr">
        <is>
          <t>U4</t>
        </is>
      </c>
      <c r="B33" s="11" t="n">
        <v>1</v>
      </c>
      <c r="C33" s="11" t="inlineStr">
        <is>
          <t>L86-M33</t>
        </is>
      </c>
      <c r="D33" s="17" t="n">
        <v>8.130000000000001</v>
      </c>
      <c r="E33" s="11" t="n">
        <v>1</v>
      </c>
      <c r="F33" s="18">
        <f>IFERROR(MAX(B33,E33)*D33,"")</f>
        <v/>
      </c>
      <c r="G33" s="11" t="inlineStr">
        <is>
          <t>C909689</t>
        </is>
      </c>
      <c r="H33" s="16" t="inlineStr">
        <is>
          <t>EKSAKT L86-M33 men UTSOLGT - kjop hos DigiKey (127,31 kr); 30+ @ $5.93 ved restock</t>
        </is>
      </c>
    </row>
    <row r="34" ht="15.75" customHeight="1" s="12">
      <c r="A34" s="16" t="inlineStr">
        <is>
          <t>U5</t>
        </is>
      </c>
      <c r="B34" s="11" t="n">
        <v>1</v>
      </c>
      <c r="C34" s="11" t="inlineStr">
        <is>
          <t>RV-3028-C7</t>
        </is>
      </c>
      <c r="D34" s="17" t="n">
        <v>2.22</v>
      </c>
      <c r="E34" s="11" t="n">
        <v>1</v>
      </c>
      <c r="F34" s="18">
        <f>IFERROR(MAX(B34,E34)*D34,"")</f>
        <v/>
      </c>
      <c r="G34" s="11" t="inlineStr">
        <is>
          <t>C3019759</t>
        </is>
      </c>
      <c r="H34" s="16" t="inlineStr">
        <is>
          <t>UTSOLGT (begge TA-QC/TA-QA-varianter) - kjop hos DigiKey (24,59 kr)</t>
        </is>
      </c>
    </row>
    <row r="35" ht="15.75" customHeight="1" s="12">
      <c r="A35" s="16" t="inlineStr">
        <is>
          <t>U6</t>
        </is>
      </c>
      <c r="B35" s="11" t="n">
        <v>1</v>
      </c>
      <c r="C35" s="11" t="inlineStr">
        <is>
          <t>TPS61023DRLR</t>
        </is>
      </c>
      <c r="D35" s="17" t="n">
        <v>0.267</v>
      </c>
      <c r="E35" s="11" t="n">
        <v>5</v>
      </c>
      <c r="F35" s="18">
        <f>IFERROR(MAX(B35,E35)*D35,"")</f>
        <v/>
      </c>
      <c r="G35" s="11" t="inlineStr">
        <is>
          <t>C919459</t>
        </is>
      </c>
      <c r="H35" s="16" t="inlineStr">
        <is>
          <t>MOQ 5</t>
        </is>
      </c>
    </row>
    <row r="36" ht="15.75" customHeight="1" s="12">
      <c r="A36" s="16" t="inlineStr">
        <is>
          <t>U7</t>
        </is>
      </c>
      <c r="B36" s="11" t="n">
        <v>1</v>
      </c>
      <c r="C36" s="11" t="inlineStr">
        <is>
          <t>LIS3DH</t>
        </is>
      </c>
      <c r="D36" s="17" t="n">
        <v>1.94</v>
      </c>
      <c r="E36" s="11" t="n">
        <v>1</v>
      </c>
      <c r="F36" s="18">
        <f>IFERROR(MAX(B36,E36)*D36,"")</f>
        <v/>
      </c>
      <c r="G36" s="11" t="inlineStr">
        <is>
          <t>C15134</t>
        </is>
      </c>
      <c r="H36" s="16" t="inlineStr">
        <is>
          <t>LIS3DHTR</t>
        </is>
      </c>
    </row>
    <row r="37" ht="15.75" customHeight="1" s="12">
      <c r="A37" s="16" t="inlineStr">
        <is>
          <t>U8</t>
        </is>
      </c>
      <c r="B37" s="11" t="n">
        <v>1</v>
      </c>
      <c r="C37" s="11" t="inlineStr">
        <is>
          <t>25Q128</t>
        </is>
      </c>
      <c r="D37" s="17" t="n">
        <v>2.7537</v>
      </c>
      <c r="E37" s="11" t="n">
        <v>1</v>
      </c>
      <c r="F37" s="18">
        <f>IFERROR(MAX(B37,E37)*D37,"")</f>
        <v/>
      </c>
      <c r="G37" s="11" t="inlineStr">
        <is>
          <t>C97521</t>
        </is>
      </c>
      <c r="H37" s="16" t="inlineStr">
        <is>
          <t>Correct part: W25Q128JVSIQ (3.0V) - do not order the 1.8V FW variant. | W25Q128JVSIQ 2.7-3.6V bekreftet, 30k pa lager</t>
        </is>
      </c>
    </row>
    <row r="38" ht="15.75" customHeight="1" s="12">
      <c r="A38" s="16" t="inlineStr">
        <is>
          <t>U9</t>
        </is>
      </c>
      <c r="B38" s="11" t="n">
        <v>1</v>
      </c>
      <c r="C38" s="11" t="inlineStr">
        <is>
          <t>74LVC1G17</t>
        </is>
      </c>
      <c r="D38" s="17" t="n">
        <v>0.1897</v>
      </c>
      <c r="E38" s="11" t="n">
        <v>5</v>
      </c>
      <c r="F38" s="18">
        <f>IFERROR(MAX(B38,E38)*D38,"")</f>
        <v/>
      </c>
      <c r="G38" s="11" t="inlineStr">
        <is>
          <t>C7836</t>
        </is>
      </c>
      <c r="H38" s="16" t="inlineStr">
        <is>
          <t>SN74LVC1G17DBVR (ekte TI), MOQ 5</t>
        </is>
      </c>
    </row>
    <row r="39" ht="15.75" customHeight="1" s="12">
      <c r="A39" s="16" t="inlineStr">
        <is>
          <t>U10, U11, U12</t>
        </is>
      </c>
      <c r="B39" s="11" t="n">
        <v>3</v>
      </c>
      <c r="C39" s="11" t="inlineStr">
        <is>
          <t>IRLML6344TRPBF</t>
        </is>
      </c>
      <c r="D39" s="17" t="n">
        <v>0.1977</v>
      </c>
      <c r="E39" s="11" t="n">
        <v>5</v>
      </c>
      <c r="F39" s="18">
        <f>IFERROR(MAX(B39,E39)*D39,"")</f>
        <v/>
      </c>
      <c r="G39" s="11" t="inlineStr">
        <is>
          <t>C53550</t>
        </is>
      </c>
      <c r="H39" s="16" t="inlineStr">
        <is>
          <t>MOQ 5; pris per stk</t>
        </is>
      </c>
    </row>
    <row r="40" ht="15.75" customHeight="1" s="12">
      <c r="A40" s="16" t="inlineStr">
        <is>
          <t>U14</t>
        </is>
      </c>
      <c r="B40" s="11" t="n">
        <v>1</v>
      </c>
      <c r="C40" s="11" t="inlineStr">
        <is>
          <t>LM3671MFX-3.3/NOPB</t>
        </is>
      </c>
      <c r="D40" s="17" t="n">
        <v>1.0509</v>
      </c>
      <c r="E40" s="11" t="n">
        <v>1</v>
      </c>
      <c r="F40" s="18">
        <f>IFERROR(MAX(B40,E40)*D40,"")</f>
        <v/>
      </c>
      <c r="G40" s="11" t="inlineStr">
        <is>
          <t>C477918</t>
        </is>
      </c>
      <c r="H40" s="16" t="n"/>
    </row>
    <row r="41" ht="15.75" customHeight="1" s="12">
      <c r="A41" s="16" t="inlineStr">
        <is>
          <t>U18</t>
        </is>
      </c>
      <c r="B41" s="11" t="n">
        <v>1</v>
      </c>
      <c r="C41" s="11" t="inlineStr">
        <is>
          <t>ATSAMD51J19A-AUT</t>
        </is>
      </c>
      <c r="D41" s="17" t="n">
        <v>8.82</v>
      </c>
      <c r="E41" s="11" t="n">
        <v>1</v>
      </c>
      <c r="F41" s="18">
        <f>IFERROR(MAX(B41,E41)*D41,"")</f>
        <v/>
      </c>
      <c r="G41" s="11" t="inlineStr">
        <is>
          <t>C619371</t>
        </is>
      </c>
      <c r="H41" s="16" t="inlineStr">
        <is>
          <t>Fitted/correct part is SAMD51J20A (schematic symbol says J19A). | EKSAKT ATSAMD51J20A-AUT - men kun 29 pa lager</t>
        </is>
      </c>
    </row>
    <row r="42" ht="15.75" customHeight="1" s="12">
      <c r="A42" s="16" t="inlineStr">
        <is>
          <t>X1</t>
        </is>
      </c>
      <c r="B42" s="11" t="n">
        <v>1</v>
      </c>
      <c r="C42" s="11" t="inlineStr">
        <is>
          <t>32.768</t>
        </is>
      </c>
      <c r="D42" s="17" t="n">
        <v>0.1739</v>
      </c>
      <c r="E42" s="11" t="n">
        <v>5</v>
      </c>
      <c r="F42" s="18">
        <f>IFERROR(MAX(B42,E42)*D42,"")</f>
        <v/>
      </c>
      <c r="G42" s="11" t="inlineStr">
        <is>
          <t>C32346</t>
        </is>
      </c>
      <c r="H42" s="16" t="inlineStr">
        <is>
          <t>Epson Q13FC1350000400 (FC-135 12.5pF standardvariant), MOQ 5</t>
        </is>
      </c>
    </row>
    <row r="43"/>
    <row r="44" ht="15" customHeight="1" s="12">
      <c r="A44" s="19" t="n"/>
      <c r="D44" s="20" t="n"/>
    </row>
    <row r="45"/>
    <row r="46" ht="15" customHeight="1" s="12">
      <c r="A46" s="19" t="inlineStr">
        <is>
          <t>Sum reell bestilling for 1 kort (max(antall, MOQ) x stykkpris; LED1 utsolgt/ikke medregnet):</t>
        </is>
      </c>
      <c r="D46" s="21" t="n"/>
      <c r="F46" s="22">
        <f>SUM(F5:F42)</f>
        <v/>
      </c>
      <c r="G46" s="19" t="inlineStr">
        <is>
          <t>NOK: gang med ~9,44</t>
        </is>
      </c>
    </row>
    <row r="47" ht="15" customHeight="1" s="12">
      <c r="A47" s="11" t="inlineStr">
        <is>
          <t>Priser fra lcsc.com 2026-08-16 (USD, laveste pristrinn - flere har MOQ 10-100, se notater). UTSOLGT hos LCSC: nPM1300, RV-3028, L86, OR-PL020W - kjopes hos DigiKey/ventes pa.</t>
        </is>
      </c>
    </row>
    <row r="49">
      <c r="A49" s="23" t="inlineStr">
        <is>
          <t>— I NOK (kurs i celle D under) —</t>
        </is>
      </c>
    </row>
    <row r="50">
      <c r="A50" t="inlineStr">
        <is>
          <t>USD/NOK-kurs (2026-08-16):</t>
        </is>
      </c>
      <c r="D50" t="n">
        <v>9.44</v>
      </c>
    </row>
    <row r="51">
      <c r="A51" t="inlineStr">
        <is>
          <t>Komponenter fra LCSC (omregnet)</t>
        </is>
      </c>
      <c r="F51" s="24">
        <f>F46*D50</f>
        <v/>
      </c>
    </row>
    <row r="52">
      <c r="A52" t="inlineStr">
        <is>
          <t>Display NV3007 428x142 TFT (modul m/ BL pull-down)</t>
        </is>
      </c>
      <c r="B52" t="n">
        <v>1</v>
      </c>
      <c r="D52" s="24" t="n">
        <v>60</v>
      </c>
      <c r="F52" s="24">
        <f>B52*D52</f>
        <v/>
      </c>
    </row>
    <row r="53">
      <c r="A53" t="inlineStr">
        <is>
          <t>Batteri 505060 LiPo 3.7V 2000mAh m/PCM</t>
        </is>
      </c>
      <c r="B53" t="n">
        <v>1</v>
      </c>
      <c r="D53" s="24" t="n">
        <v>90</v>
      </c>
      <c r="F53" s="24">
        <f>B53*D53</f>
        <v/>
      </c>
    </row>
    <row r="54">
      <c r="A54" t="inlineStr">
        <is>
          <t>PCB (produksjon)</t>
        </is>
      </c>
      <c r="B54" t="n">
        <v>1</v>
      </c>
      <c r="D54" s="24" t="n">
        <v>40</v>
      </c>
      <c r="F54" s="24">
        <f>B54*D54</f>
        <v/>
      </c>
    </row>
    <row r="55">
      <c r="A55" t="inlineStr">
        <is>
          <t>Diverse: skruer, kabler, 3D-print (kabinett)</t>
        </is>
      </c>
      <c r="B55" t="n">
        <v>1</v>
      </c>
      <c r="D55" s="24" t="n">
        <v>50</v>
      </c>
      <c r="F55" s="24">
        <f>B55*D55</f>
        <v/>
      </c>
    </row>
    <row r="56">
      <c r="A56" s="23" t="inlineStr">
        <is>
          <t>TOTAL per klokke (eks. mva, eks. frakt):</t>
        </is>
      </c>
      <c r="F56" s="25">
        <f>SUM(F51:F55)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2026-08-15T22:41:04Z</dcterms:created>
  <dcterms:modified xmlns:dcterms="http://purl.org/dc/terms/" xmlns:xsi="http://www.w3.org/2001/XMLSchema-instance" xsi:type="dcterms:W3CDTF">2026-08-15T23:30:45Z</dcterms:modified>
  <cp:revision>3</cp:revision>
</cp:coreProperties>
</file>